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tsPilani\Programs\BS, MS, Maths, Python - D2L\1 Cohort-1 Sep-2025\Trimester-1 AY 2025-26\"/>
    </mc:Choice>
  </mc:AlternateContent>
  <xr:revisionPtr revIDLastSave="0" documentId="8_{B70D9C30-F4BD-4A54-88C7-E4F6ECEFAFA1}" xr6:coauthVersionLast="47" xr6:coauthVersionMax="47" xr10:uidLastSave="{00000000-0000-0000-0000-000000000000}"/>
  <bookViews>
    <workbookView xWindow="-108" yWindow="-108" windowWidth="23256" windowHeight="13896" xr2:uid="{051CF0A9-C639-4CFA-A2BC-4EA7D7409942}"/>
  </bookViews>
  <sheets>
    <sheet name="LIVE Session Attendance" sheetId="1" r:id="rId1"/>
    <sheet name="Graded Component" sheetId="2" r:id="rId2"/>
  </sheets>
  <definedNames>
    <definedName name="_xlnm._FilterDatabase" localSheetId="1" hidden="1">'Graded Component'!$A$33:$E$53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E62" i="2"/>
  <c r="E61" i="2"/>
  <c r="E60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S24" i="1"/>
  <c r="R24" i="1"/>
  <c r="S19" i="1"/>
  <c r="R19" i="1"/>
  <c r="S18" i="1"/>
  <c r="R18" i="1"/>
  <c r="S17" i="1"/>
  <c r="R17" i="1"/>
  <c r="S16" i="1"/>
  <c r="R16" i="1"/>
  <c r="S15" i="1"/>
  <c r="R15" i="1"/>
  <c r="S14" i="1"/>
  <c r="R14" i="1"/>
  <c r="S9" i="1"/>
  <c r="R9" i="1"/>
  <c r="S8" i="1"/>
  <c r="R8" i="1"/>
  <c r="S7" i="1"/>
  <c r="R7" i="1"/>
  <c r="S6" i="1"/>
  <c r="R6" i="1"/>
  <c r="S5" i="1"/>
  <c r="R5" i="1"/>
</calcChain>
</file>

<file path=xl/sharedStrings.xml><?xml version="1.0" encoding="utf-8"?>
<sst xmlns="http://schemas.openxmlformats.org/spreadsheetml/2006/main" count="267" uniqueCount="172">
  <si>
    <t>LIVE SESSION ATTENDANCE</t>
  </si>
  <si>
    <t>BS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</si>
  <si>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</si>
  <si>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</si>
  <si>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</si>
  <si>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</si>
  <si>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</si>
  <si>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</si>
  <si>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</si>
  <si>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</si>
  <si>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</si>
  <si>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</si>
  <si>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</si>
  <si>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</si>
  <si>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</si>
  <si>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Last/Latest attendance</t>
  </si>
  <si>
    <t>Program</t>
  </si>
  <si>
    <t>Faculty</t>
  </si>
  <si>
    <t>Sep-19th &amp; 20th 2025</t>
  </si>
  <si>
    <t>Sep-26th &amp; 27th 2025</t>
  </si>
  <si>
    <t>Oct-3rd &amp; 4th 2025</t>
  </si>
  <si>
    <t>Oct-10th &amp; 11th 2025</t>
  </si>
  <si>
    <t>Oct-17th &amp; 18th 2025</t>
  </si>
  <si>
    <t>Oct-24th &amp; 25th 2025</t>
  </si>
  <si>
    <t>Oct-31st &amp; Nov-1st 2025</t>
  </si>
  <si>
    <t>Nov-7th &amp; Nov-8th 2025</t>
  </si>
  <si>
    <t>Nov-14th &amp; Nov-15th 2025</t>
  </si>
  <si>
    <t>Nov-21st &amp; Nov-22nd 2025</t>
  </si>
  <si>
    <t>Nov-28th &amp; Nov-29th 2025</t>
  </si>
  <si>
    <t>Dec-05th &amp; Dec-06th 2025</t>
  </si>
  <si>
    <t>Dec-12th &amp; Dec-13th 2025</t>
  </si>
  <si>
    <t>PS</t>
  </si>
  <si>
    <t>Probability &amp; Statistics</t>
  </si>
  <si>
    <t>Dr. Pushpendra Gupta</t>
  </si>
  <si>
    <t>CP</t>
  </si>
  <si>
    <t>Computer Programming</t>
  </si>
  <si>
    <t>Dr. Jagat Sesh Challa</t>
  </si>
  <si>
    <t>WP</t>
  </si>
  <si>
    <t>Writing Practice</t>
  </si>
  <si>
    <t>Dr. Shakul Tewari</t>
  </si>
  <si>
    <t>Course Completed</t>
  </si>
  <si>
    <t>NA</t>
  </si>
  <si>
    <t>DW</t>
  </si>
  <si>
    <t>Data and the World</t>
  </si>
  <si>
    <t>Dr. Anita R</t>
  </si>
  <si>
    <t>CS</t>
  </si>
  <si>
    <t>Computing Systems</t>
  </si>
  <si>
    <t>Dr Biju K Raveendran</t>
  </si>
  <si>
    <t>MSc</t>
  </si>
  <si>
    <t>DPP</t>
  </si>
  <si>
    <t>Data Pre-processing</t>
  </si>
  <si>
    <t>Dr. Hemant Rathore</t>
  </si>
  <si>
    <t>Cancelled</t>
  </si>
  <si>
    <t>SMI</t>
  </si>
  <si>
    <t>Statistical Modelling &amp; Inferencing</t>
  </si>
  <si>
    <t>FE</t>
  </si>
  <si>
    <t>Feature Engineering</t>
  </si>
  <si>
    <t>Dr. Anita Ramachandran</t>
  </si>
  <si>
    <t>DVS</t>
  </si>
  <si>
    <t>Data Visualization &amp; Storytelling</t>
  </si>
  <si>
    <t>Dr. Subrahmanyam A C V</t>
  </si>
  <si>
    <t>DSP</t>
  </si>
  <si>
    <t>Data Stores &amp; Pipelines</t>
  </si>
  <si>
    <t>Prof. Praveen/Dhanesh</t>
  </si>
  <si>
    <t>Postponed to 12th Dec-2025</t>
  </si>
  <si>
    <t>APEX</t>
  </si>
  <si>
    <t>Advanced Apex Project I</t>
  </si>
  <si>
    <t>Janapati Naga Muneiah</t>
  </si>
  <si>
    <t>MATHS</t>
  </si>
  <si>
    <t>Sep-27th 2025</t>
  </si>
  <si>
    <t>Oct-4th 2025</t>
  </si>
  <si>
    <t>Oct-11th 2025</t>
  </si>
  <si>
    <t>Oct-18th 2025</t>
  </si>
  <si>
    <t>Oct-25th</t>
  </si>
  <si>
    <t>Nov-1st</t>
  </si>
  <si>
    <t>Nov-8th</t>
  </si>
  <si>
    <t>Nov-15th</t>
  </si>
  <si>
    <t>Nov-23th</t>
  </si>
  <si>
    <t>Nov-29th</t>
  </si>
  <si>
    <t>Dec-6th</t>
  </si>
  <si>
    <t>Dec-13th</t>
  </si>
  <si>
    <t>Dec-20th</t>
  </si>
  <si>
    <t>BM</t>
  </si>
  <si>
    <t>Basic Mathematics</t>
  </si>
  <si>
    <t>Rahul Dhakad</t>
  </si>
  <si>
    <t>GRADED COMPONENET ATTENDANCE</t>
  </si>
  <si>
    <r>
      <rPr>
        <sz val="9"/>
        <color theme="1"/>
        <rFont val="Arial"/>
        <family val="2"/>
      </rPr>
      <t xml:space="preserve">Academic Calendar for for Online </t>
    </r>
    <r>
      <rPr>
        <b/>
        <u/>
        <sz val="9"/>
        <color theme="1"/>
        <rFont val="Arial"/>
        <family val="2"/>
      </rPr>
      <t>B.S Data Science &amp; Artificial Intelligence</t>
    </r>
    <r>
      <rPr>
        <sz val="9"/>
        <color theme="1"/>
        <rFont val="Arial"/>
        <family val="2"/>
      </rPr>
      <t xml:space="preserve"> Programme - </t>
    </r>
    <r>
      <rPr>
        <b/>
        <u/>
        <sz val="9"/>
        <color theme="1"/>
        <rFont val="Arial"/>
        <family val="2"/>
      </rPr>
      <t>Cohort 1</t>
    </r>
  </si>
  <si>
    <t>Week #</t>
  </si>
  <si>
    <t>Date</t>
  </si>
  <si>
    <t>Event</t>
  </si>
  <si>
    <t>Attendance</t>
  </si>
  <si>
    <t>Participation %</t>
  </si>
  <si>
    <t>September 27 - October 12, 2025</t>
  </si>
  <si>
    <t>DW - Assignment I (Staff graded)</t>
  </si>
  <si>
    <t>October 5 - October 6, 2025</t>
  </si>
  <si>
    <t>PS - Graded Quiz 1</t>
  </si>
  <si>
    <t>CP - Graded Quiz 1</t>
  </si>
  <si>
    <t>WP - Graded Quiz 1</t>
  </si>
  <si>
    <t>October 17 - October 26, 2025</t>
  </si>
  <si>
    <t>CS - Assignment 1 (staff Graded)</t>
  </si>
  <si>
    <t>October 18 - October 31, 2025</t>
  </si>
  <si>
    <t>WP - Assignment 1 (staff Graded)</t>
  </si>
  <si>
    <t>October 23 - October 24, 2025</t>
  </si>
  <si>
    <t>CP - Graded Quiz 2</t>
  </si>
  <si>
    <t>October 24 - November 14, 2025</t>
  </si>
  <si>
    <t>CS - Assignment 2 (staff Graded)</t>
  </si>
  <si>
    <t>October 26 - October 28, 2025</t>
  </si>
  <si>
    <t>WP - Graded Quiz 2</t>
  </si>
  <si>
    <t>October 26 - October 27, 2025</t>
  </si>
  <si>
    <t>PS - Graded Quiz 2</t>
  </si>
  <si>
    <t>November 2 - November 3, 2025</t>
  </si>
  <si>
    <t>CS - Graded Quiz 1</t>
  </si>
  <si>
    <t>CP - Graded Quiz 3</t>
  </si>
  <si>
    <t>November 15 - November 28, 2025</t>
  </si>
  <si>
    <t>WP - Assignment 2 (staff graded)</t>
  </si>
  <si>
    <t>November 16 - November 17, 2025</t>
  </si>
  <si>
    <t>CP - Graded Quiz 4</t>
  </si>
  <si>
    <t>November 23 - December 08, 2025</t>
  </si>
  <si>
    <t>PS - Assignment 1 (staff Graded)</t>
  </si>
  <si>
    <t>CP - Assignment 1 (staff Graded)</t>
  </si>
  <si>
    <t>November 23 - November 24, 2025</t>
  </si>
  <si>
    <t>CS - Graded Quiz 2</t>
  </si>
  <si>
    <t>November 30 - December 01, 2025</t>
  </si>
  <si>
    <t>PS - Graded Quiz 3</t>
  </si>
  <si>
    <t>December 14 - December 15, 2025</t>
  </si>
  <si>
    <t>CS - Graded Quiz 3</t>
  </si>
  <si>
    <t>September 19 - December 14, 2025</t>
  </si>
  <si>
    <t>WP - Ungraded Quiz Participation ( participation in Practie quiz )</t>
  </si>
  <si>
    <r>
      <rPr>
        <sz val="10"/>
        <rFont val="Aptos Narrow"/>
        <family val="2"/>
        <scheme val="minor"/>
      </rPr>
      <t xml:space="preserve">Academic Calendar for for Online </t>
    </r>
    <r>
      <rPr>
        <b/>
        <u/>
        <sz val="10"/>
        <rFont val="Aptos Narrow"/>
        <family val="2"/>
        <scheme val="minor"/>
      </rPr>
      <t>M.S.c. Data Science &amp; Artificial Intelligence</t>
    </r>
    <r>
      <rPr>
        <sz val="10"/>
        <rFont val="Aptos Narrow"/>
        <family val="2"/>
        <scheme val="minor"/>
      </rPr>
      <t xml:space="preserve"> Programme - </t>
    </r>
    <r>
      <rPr>
        <b/>
        <u/>
        <sz val="10"/>
        <rFont val="Aptos Narrow"/>
        <family val="2"/>
        <scheme val="minor"/>
      </rPr>
      <t>Cohort 1</t>
    </r>
  </si>
  <si>
    <t>September 28 - September 29, 2025</t>
  </si>
  <si>
    <t>DPP - Graded Quiz - 1</t>
  </si>
  <si>
    <t>SMI - Graded Quiz 1</t>
  </si>
  <si>
    <t>October 12 - October 13, 2025</t>
  </si>
  <si>
    <t>DPP - Graded Quiz - 2</t>
  </si>
  <si>
    <t>DSP - Graded Quiz - 1</t>
  </si>
  <si>
    <t>FE - Graded Quiz - 1</t>
  </si>
  <si>
    <t>October 19 - October 23, 2025</t>
  </si>
  <si>
    <t>DPP - Graded Quiz - 3</t>
  </si>
  <si>
    <t>October 25 - October 26, 2025</t>
  </si>
  <si>
    <t>DVS - Graded Quiz - 1</t>
  </si>
  <si>
    <t>October 19 - November 12, 2025</t>
  </si>
  <si>
    <t>FE - Graded Assignment - 1(staff graded)</t>
  </si>
  <si>
    <t>SMI - Graded Quiz 2</t>
  </si>
  <si>
    <t>DPP - Graded Quiz - 4</t>
  </si>
  <si>
    <t>November 9 - November 21, 2025</t>
  </si>
  <si>
    <t>DSP - Graded Assignment - 1(staff graded)</t>
  </si>
  <si>
    <t>November 8 - November 10, 2025</t>
  </si>
  <si>
    <t>DPP - Graded Quiz - 5</t>
  </si>
  <si>
    <t>DSP - Graded Quiz - 2</t>
  </si>
  <si>
    <t>November 15 - November 17, 2025</t>
  </si>
  <si>
    <t>DPP - Graded Quiz - 6</t>
  </si>
  <si>
    <t>November 15 - November 16, 2025</t>
  </si>
  <si>
    <t>DVS - Graded Quiz - 2</t>
  </si>
  <si>
    <t>November 23 - December 7, 2025</t>
  </si>
  <si>
    <t>DSP - Graded Assignment - 2(staff graded)</t>
  </si>
  <si>
    <t>November 23 - December 02, 2025</t>
  </si>
  <si>
    <t>DVS - Graded Assignment - 1(staff graded)</t>
  </si>
  <si>
    <t>SMI - Graded Assignment - 1(staff graded)</t>
  </si>
  <si>
    <t>SMI - Graded Quiz 3</t>
  </si>
  <si>
    <t>DSP - Graded Quiz - 3</t>
  </si>
  <si>
    <r>
      <rPr>
        <sz val="9"/>
        <color theme="1"/>
        <rFont val="Arial"/>
        <family val="2"/>
      </rPr>
      <t xml:space="preserve">Academic Calendar for Online </t>
    </r>
    <r>
      <rPr>
        <b/>
        <u/>
        <sz val="9"/>
        <color theme="1"/>
        <rFont val="Arial"/>
        <family val="2"/>
      </rPr>
      <t>B.S Basis Mathematics</t>
    </r>
    <r>
      <rPr>
        <sz val="9"/>
        <color theme="1"/>
        <rFont val="Arial"/>
        <family val="2"/>
      </rPr>
      <t xml:space="preserve"> Programme - </t>
    </r>
    <r>
      <rPr>
        <b/>
        <u/>
        <sz val="9"/>
        <color theme="1"/>
        <rFont val="Arial"/>
        <family val="2"/>
      </rPr>
      <t>Cohort 1</t>
    </r>
  </si>
  <si>
    <t>Wednesday, October 15, 2025 (12:01 AM ) to 22-10-2025 (11:59 PM )</t>
  </si>
  <si>
    <t>Graded Quiz 1</t>
  </si>
  <si>
    <t>Sunday 02-11-2025 (12:01 AM ) to 07-11-2025 (11:59 PM )</t>
  </si>
  <si>
    <t>Graded Quiz 2</t>
  </si>
  <si>
    <t>Tuesday 25-11-2025 (12:01 AM ) to 03-12-2025 (11:59 PM )</t>
  </si>
  <si>
    <t>Graded Quiz 3</t>
  </si>
  <si>
    <t>Sunday 14-12-2025 (12:01 AM ) to 19-12-2025 (11:59 PM )</t>
  </si>
  <si>
    <r>
      <t>Graded Quiz 4</t>
    </r>
    <r>
      <rPr>
        <b/>
        <sz val="9"/>
        <color theme="1"/>
        <rFont val="Aptos Narrow"/>
        <family val="2"/>
        <scheme val="minor"/>
      </rPr>
      <t xml:space="preserve"> (cancelled)</t>
    </r>
  </si>
  <si>
    <t>-</t>
  </si>
  <si>
    <t>Sunday 26-12-2025 (12:01 AM ) to 03-01-2026 (11:59 PM )</t>
  </si>
  <si>
    <t>Final Quiz (Full Syllabus)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</si>
</sst>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rgb="FF222222"/>
      <name val="Aptos Narrow"/>
      <family val="2"/>
      <scheme val="minor"/>
    </font>
    <font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C23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4" fillId="4" borderId="1" xfId="1" applyNumberFormat="1" applyFont="1" applyFill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7" fontId="10" fillId="6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0" fontId="15" fillId="0" borderId="1" xfId="1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9" fontId="10" fillId="0" borderId="1" xfId="0" quotePrefix="1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5416-622E-4E6D-8158-94B819DFC87F}">
  <dimension ref="A1:Z1000"/>
  <sheetViews>
    <sheetView showGridLines="0" tabSelected="1" zoomScale="111" workbookViewId="0">
      <pane xSplit="3" topLeftCell="D1" activePane="topRight" state="frozen"/>
      <selection pane="topRight" activeCell="C13" sqref="C13"/>
    </sheetView>
  </sheetViews>
  <sheetFormatPr defaultRowHeight="14.4" x14ac:dyDescent="0.3"/>
  <cols>
    <col min="1" max="1" width="8.5546875" style="3" bestFit="1" customWidth="1"/>
    <col min="2" max="2" width="18.88671875" style="3" bestFit="1" customWidth="1"/>
    <col min="3" max="3" width="20.6640625" style="3" bestFit="1" customWidth="1"/>
    <col min="4" max="5" width="19.77734375" style="3" bestFit="1" customWidth="1"/>
    <col min="6" max="6" width="17.6640625" style="3" bestFit="1" customWidth="1"/>
    <col min="7" max="9" width="19.5546875" style="3" bestFit="1" customWidth="1"/>
    <col min="10" max="10" width="22.5546875" style="3" bestFit="1" customWidth="1"/>
    <col min="11" max="11" width="22.109375" style="3" bestFit="1" customWidth="1"/>
    <col min="12" max="12" width="24.109375" style="3" bestFit="1" customWidth="1"/>
    <col min="13" max="13" width="24.44140625" style="3" bestFit="1" customWidth="1"/>
    <col min="14" max="14" width="24.109375" style="3" bestFit="1" customWidth="1"/>
    <col min="15" max="16" width="24.109375" style="3" customWidth="1"/>
    <col min="17" max="17" width="3.21875" style="3" customWidth="1"/>
    <col min="18" max="18" width="7.5546875" style="3" bestFit="1" customWidth="1"/>
    <col min="19" max="19" width="22.21875" style="3" bestFit="1" customWidth="1"/>
    <col min="20" max="16384" width="8.88671875" style="3"/>
  </cols>
  <sheetData>
    <row r="1" spans="1:26" ht="39.6" customHeight="1" x14ac:dyDescent="0.3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.6" customHeight="1" x14ac:dyDescent="0.3">
      <c r="A2" s="4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5" t="s">
        <v>1</v>
      </c>
      <c r="B3" s="5"/>
      <c r="C3" s="5">
        <v>322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4"/>
      <c r="R3" s="5" t="s">
        <v>2</v>
      </c>
      <c r="S3" s="5" t="s">
        <v>15</v>
      </c>
      <c r="T3" s="2"/>
      <c r="U3" s="2"/>
      <c r="V3" s="2"/>
      <c r="W3" s="2"/>
      <c r="X3" s="2"/>
      <c r="Y3" s="2"/>
      <c r="Z3" s="2"/>
    </row>
    <row r="4" spans="1:26" x14ac:dyDescent="0.3">
      <c r="A4" s="5" t="s">
        <v>16</v>
      </c>
      <c r="B4" s="5"/>
      <c r="C4" s="5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27</v>
      </c>
      <c r="N4" s="6" t="s">
        <v>28</v>
      </c>
      <c r="O4" s="6" t="s">
        <v>29</v>
      </c>
      <c r="P4" s="6" t="s">
        <v>30</v>
      </c>
      <c r="Q4" s="4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7" t="s">
        <v>31</v>
      </c>
      <c r="B5" s="7" t="s">
        <v>32</v>
      </c>
      <c r="C5" s="7" t="s">
        <v>33</v>
      </c>
      <c r="D5" s="8">
        <v>212</v>
      </c>
      <c r="E5" s="8">
        <v>170</v>
      </c>
      <c r="F5" s="8">
        <v>148</v>
      </c>
      <c r="G5" s="8">
        <v>122</v>
      </c>
      <c r="H5" s="8">
        <v>104</v>
      </c>
      <c r="I5" s="8">
        <v>114</v>
      </c>
      <c r="J5" s="8">
        <v>109</v>
      </c>
      <c r="K5" s="8">
        <v>92</v>
      </c>
      <c r="L5" s="8">
        <v>72</v>
      </c>
      <c r="M5" s="8">
        <v>72</v>
      </c>
      <c r="N5" s="8">
        <v>73</v>
      </c>
      <c r="O5" s="8">
        <v>57</v>
      </c>
      <c r="P5" s="8">
        <v>58</v>
      </c>
      <c r="Q5" s="2"/>
      <c r="R5" s="9">
        <f>D5/$C$3</f>
        <v>0.65838509316770188</v>
      </c>
      <c r="S5" s="10">
        <f>P5/$C$3</f>
        <v>0.18012422360248448</v>
      </c>
      <c r="T5" s="2"/>
      <c r="U5" s="2"/>
      <c r="V5" s="2"/>
      <c r="W5" s="2"/>
      <c r="X5" s="2"/>
      <c r="Y5" s="2"/>
      <c r="Z5" s="2"/>
    </row>
    <row r="6" spans="1:26" x14ac:dyDescent="0.3">
      <c r="A6" s="7" t="s">
        <v>34</v>
      </c>
      <c r="B6" s="7" t="s">
        <v>35</v>
      </c>
      <c r="C6" s="7" t="s">
        <v>36</v>
      </c>
      <c r="D6" s="8">
        <v>213</v>
      </c>
      <c r="E6" s="8">
        <v>194</v>
      </c>
      <c r="F6" s="8">
        <v>182</v>
      </c>
      <c r="G6" s="8">
        <v>151</v>
      </c>
      <c r="H6" s="8">
        <v>135</v>
      </c>
      <c r="I6" s="8">
        <v>121</v>
      </c>
      <c r="J6" s="8">
        <v>120</v>
      </c>
      <c r="K6" s="8">
        <v>108</v>
      </c>
      <c r="L6" s="8">
        <v>89</v>
      </c>
      <c r="M6" s="8">
        <v>95</v>
      </c>
      <c r="N6" s="8">
        <v>17</v>
      </c>
      <c r="O6" s="8">
        <v>57</v>
      </c>
      <c r="P6" s="8">
        <v>64</v>
      </c>
      <c r="Q6" s="2"/>
      <c r="R6" s="9">
        <f t="shared" ref="R6:R9" si="0">D6/$C$3</f>
        <v>0.66149068322981364</v>
      </c>
      <c r="S6" s="10">
        <f>P6/$C$3</f>
        <v>0.19875776397515527</v>
      </c>
      <c r="T6" s="2"/>
      <c r="U6" s="2"/>
      <c r="V6" s="2"/>
      <c r="W6" s="2"/>
      <c r="X6" s="2"/>
      <c r="Y6" s="2"/>
      <c r="Z6" s="2"/>
    </row>
    <row r="7" spans="1:26" x14ac:dyDescent="0.3">
      <c r="A7" s="7" t="s">
        <v>37</v>
      </c>
      <c r="B7" s="7" t="s">
        <v>38</v>
      </c>
      <c r="C7" s="7" t="s">
        <v>39</v>
      </c>
      <c r="D7" s="8">
        <v>247</v>
      </c>
      <c r="E7" s="8">
        <v>215</v>
      </c>
      <c r="F7" s="8">
        <v>183</v>
      </c>
      <c r="G7" s="8">
        <v>158</v>
      </c>
      <c r="H7" s="8">
        <v>158</v>
      </c>
      <c r="I7" s="8">
        <v>151</v>
      </c>
      <c r="J7" s="8">
        <v>66</v>
      </c>
      <c r="K7" s="8">
        <v>115</v>
      </c>
      <c r="L7" s="8">
        <v>57</v>
      </c>
      <c r="M7" s="8">
        <v>106</v>
      </c>
      <c r="N7" s="11" t="s">
        <v>40</v>
      </c>
      <c r="O7" s="11" t="s">
        <v>41</v>
      </c>
      <c r="P7" s="11" t="s">
        <v>41</v>
      </c>
      <c r="Q7" s="2"/>
      <c r="R7" s="9">
        <f t="shared" si="0"/>
        <v>0.76708074534161486</v>
      </c>
      <c r="S7" s="12">
        <f t="shared" ref="S7" si="1">M7/$C$3</f>
        <v>0.32919254658385094</v>
      </c>
      <c r="T7" s="2"/>
      <c r="U7" s="2"/>
      <c r="V7" s="2"/>
      <c r="W7" s="2"/>
      <c r="X7" s="2"/>
      <c r="Y7" s="2"/>
      <c r="Z7" s="2"/>
    </row>
    <row r="8" spans="1:26" x14ac:dyDescent="0.3">
      <c r="A8" s="7" t="s">
        <v>42</v>
      </c>
      <c r="B8" s="7" t="s">
        <v>43</v>
      </c>
      <c r="C8" s="7" t="s">
        <v>44</v>
      </c>
      <c r="D8" s="8">
        <v>184</v>
      </c>
      <c r="E8" s="8">
        <v>145</v>
      </c>
      <c r="F8" s="8">
        <v>115</v>
      </c>
      <c r="G8" s="8">
        <v>120</v>
      </c>
      <c r="H8" s="11" t="s">
        <v>40</v>
      </c>
      <c r="I8" s="11" t="s">
        <v>41</v>
      </c>
      <c r="J8" s="11" t="s">
        <v>41</v>
      </c>
      <c r="K8" s="11" t="s">
        <v>41</v>
      </c>
      <c r="L8" s="11" t="s">
        <v>41</v>
      </c>
      <c r="M8" s="11" t="s">
        <v>41</v>
      </c>
      <c r="N8" s="11" t="s">
        <v>41</v>
      </c>
      <c r="O8" s="11" t="s">
        <v>41</v>
      </c>
      <c r="P8" s="11" t="s">
        <v>41</v>
      </c>
      <c r="Q8" s="13"/>
      <c r="R8" s="9">
        <f t="shared" si="0"/>
        <v>0.5714285714285714</v>
      </c>
      <c r="S8" s="12">
        <f>G8/$C$3</f>
        <v>0.37267080745341613</v>
      </c>
      <c r="T8" s="2"/>
      <c r="U8" s="2"/>
      <c r="V8" s="2"/>
      <c r="W8" s="2"/>
      <c r="X8" s="2"/>
      <c r="Y8" s="2"/>
      <c r="Z8" s="2"/>
    </row>
    <row r="9" spans="1:26" x14ac:dyDescent="0.3">
      <c r="A9" s="7" t="s">
        <v>45</v>
      </c>
      <c r="B9" s="7" t="s">
        <v>46</v>
      </c>
      <c r="C9" s="7" t="s">
        <v>47</v>
      </c>
      <c r="D9" s="8">
        <v>207</v>
      </c>
      <c r="E9" s="8">
        <v>200</v>
      </c>
      <c r="F9" s="8">
        <v>173</v>
      </c>
      <c r="G9" s="8">
        <v>166</v>
      </c>
      <c r="H9" s="8">
        <v>131</v>
      </c>
      <c r="I9" s="8">
        <v>132</v>
      </c>
      <c r="J9" s="8">
        <v>113</v>
      </c>
      <c r="K9" s="8">
        <v>107</v>
      </c>
      <c r="L9" s="8">
        <v>100</v>
      </c>
      <c r="M9" s="8">
        <v>92</v>
      </c>
      <c r="N9" s="8">
        <v>95</v>
      </c>
      <c r="O9" s="8">
        <v>78</v>
      </c>
      <c r="P9" s="8">
        <v>78</v>
      </c>
      <c r="Q9" s="2"/>
      <c r="R9" s="9">
        <f t="shared" si="0"/>
        <v>0.6428571428571429</v>
      </c>
      <c r="S9" s="10">
        <f>P9/$C$3</f>
        <v>0.24223602484472051</v>
      </c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5" t="s">
        <v>48</v>
      </c>
      <c r="B12" s="5"/>
      <c r="C12" s="5">
        <v>488</v>
      </c>
      <c r="D12" s="5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5" t="s">
        <v>10</v>
      </c>
      <c r="M12" s="5" t="s">
        <v>11</v>
      </c>
      <c r="N12" s="5" t="s">
        <v>12</v>
      </c>
      <c r="O12" s="5" t="s">
        <v>13</v>
      </c>
      <c r="P12" s="5" t="s">
        <v>14</v>
      </c>
      <c r="Q12" s="4"/>
      <c r="R12" s="5" t="s">
        <v>2</v>
      </c>
      <c r="S12" s="5" t="s">
        <v>15</v>
      </c>
      <c r="T12" s="2"/>
      <c r="U12" s="2"/>
      <c r="V12" s="2"/>
      <c r="W12" s="2"/>
      <c r="X12" s="2"/>
      <c r="Y12" s="2"/>
      <c r="Z12" s="2"/>
    </row>
    <row r="13" spans="1:26" x14ac:dyDescent="0.3">
      <c r="A13" s="5" t="s">
        <v>16</v>
      </c>
      <c r="B13" s="5"/>
      <c r="C13" s="5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28</v>
      </c>
      <c r="O13" s="6" t="s">
        <v>29</v>
      </c>
      <c r="P13" s="6" t="s">
        <v>30</v>
      </c>
      <c r="Q13" s="4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7" t="s">
        <v>49</v>
      </c>
      <c r="B14" s="7" t="s">
        <v>50</v>
      </c>
      <c r="C14" s="7" t="s">
        <v>51</v>
      </c>
      <c r="D14" s="8">
        <v>249</v>
      </c>
      <c r="E14" s="8">
        <v>354</v>
      </c>
      <c r="F14" s="8">
        <v>314</v>
      </c>
      <c r="G14" s="8">
        <v>251</v>
      </c>
      <c r="H14" s="8">
        <v>182</v>
      </c>
      <c r="I14" s="8">
        <v>170</v>
      </c>
      <c r="J14" s="11" t="s">
        <v>52</v>
      </c>
      <c r="K14" s="8">
        <v>121</v>
      </c>
      <c r="L14" s="8">
        <v>123</v>
      </c>
      <c r="M14" s="11" t="s">
        <v>40</v>
      </c>
      <c r="N14" s="11" t="s">
        <v>41</v>
      </c>
      <c r="O14" s="11" t="s">
        <v>41</v>
      </c>
      <c r="P14" s="11" t="s">
        <v>41</v>
      </c>
      <c r="Q14" s="13"/>
      <c r="R14" s="9">
        <f>D14/$C$12</f>
        <v>0.51024590163934425</v>
      </c>
      <c r="S14" s="14">
        <f>L14/$C$12</f>
        <v>0.25204918032786883</v>
      </c>
      <c r="T14" s="2"/>
      <c r="U14" s="2"/>
      <c r="V14" s="2"/>
      <c r="W14" s="2"/>
      <c r="X14" s="2"/>
      <c r="Y14" s="2"/>
      <c r="Z14" s="2"/>
    </row>
    <row r="15" spans="1:26" x14ac:dyDescent="0.3">
      <c r="A15" s="7" t="s">
        <v>53</v>
      </c>
      <c r="B15" s="7" t="s">
        <v>54</v>
      </c>
      <c r="C15" s="7" t="s">
        <v>33</v>
      </c>
      <c r="D15" s="8">
        <v>325</v>
      </c>
      <c r="E15" s="8">
        <v>342</v>
      </c>
      <c r="F15" s="8">
        <v>238</v>
      </c>
      <c r="G15" s="8">
        <v>199</v>
      </c>
      <c r="H15" s="8">
        <v>145</v>
      </c>
      <c r="I15" s="8">
        <v>181</v>
      </c>
      <c r="J15" s="8">
        <v>114</v>
      </c>
      <c r="K15" s="8">
        <v>66</v>
      </c>
      <c r="L15" s="8">
        <v>74</v>
      </c>
      <c r="M15" s="8">
        <v>78</v>
      </c>
      <c r="N15" s="8">
        <v>72</v>
      </c>
      <c r="O15" s="8">
        <v>45</v>
      </c>
      <c r="P15" s="8">
        <v>41</v>
      </c>
      <c r="Q15" s="2"/>
      <c r="R15" s="9">
        <f t="shared" ref="R15:R19" si="2">D15/$C$12</f>
        <v>0.66598360655737709</v>
      </c>
      <c r="S15" s="15">
        <f>P15/$C$12</f>
        <v>8.4016393442622947E-2</v>
      </c>
      <c r="T15" s="2"/>
      <c r="U15" s="2"/>
      <c r="V15" s="2"/>
      <c r="W15" s="2"/>
      <c r="X15" s="2"/>
      <c r="Y15" s="2"/>
      <c r="Z15" s="2"/>
    </row>
    <row r="16" spans="1:26" x14ac:dyDescent="0.3">
      <c r="A16" s="7" t="s">
        <v>55</v>
      </c>
      <c r="B16" s="7" t="s">
        <v>56</v>
      </c>
      <c r="C16" s="7" t="s">
        <v>57</v>
      </c>
      <c r="D16" s="8">
        <v>299</v>
      </c>
      <c r="E16" s="8">
        <v>396</v>
      </c>
      <c r="F16" s="8">
        <v>192</v>
      </c>
      <c r="G16" s="8">
        <v>225</v>
      </c>
      <c r="H16" s="8">
        <v>190</v>
      </c>
      <c r="I16" s="8">
        <v>193</v>
      </c>
      <c r="J16" s="8">
        <v>141</v>
      </c>
      <c r="K16" s="8">
        <v>94</v>
      </c>
      <c r="L16" s="11" t="s">
        <v>40</v>
      </c>
      <c r="M16" s="11" t="s">
        <v>41</v>
      </c>
      <c r="N16" s="11" t="s">
        <v>41</v>
      </c>
      <c r="O16" s="11" t="s">
        <v>41</v>
      </c>
      <c r="P16" s="11" t="s">
        <v>41</v>
      </c>
      <c r="Q16" s="13"/>
      <c r="R16" s="9">
        <f t="shared" si="2"/>
        <v>0.61270491803278693</v>
      </c>
      <c r="S16" s="14">
        <f>K16/$C$12</f>
        <v>0.19262295081967212</v>
      </c>
      <c r="T16" s="2"/>
      <c r="U16" s="2"/>
      <c r="V16" s="2"/>
      <c r="W16" s="2"/>
      <c r="X16" s="2"/>
      <c r="Y16" s="2"/>
      <c r="Z16" s="2"/>
    </row>
    <row r="17" spans="1:26" x14ac:dyDescent="0.3">
      <c r="A17" s="7" t="s">
        <v>58</v>
      </c>
      <c r="B17" s="7" t="s">
        <v>59</v>
      </c>
      <c r="C17" s="7" t="s">
        <v>60</v>
      </c>
      <c r="D17" s="8">
        <v>334</v>
      </c>
      <c r="E17" s="8">
        <v>375</v>
      </c>
      <c r="F17" s="8">
        <v>294</v>
      </c>
      <c r="G17" s="8">
        <v>258</v>
      </c>
      <c r="H17" s="8">
        <v>210</v>
      </c>
      <c r="I17" s="8">
        <v>235</v>
      </c>
      <c r="J17" s="8">
        <v>148</v>
      </c>
      <c r="K17" s="8">
        <v>108</v>
      </c>
      <c r="L17" s="8">
        <v>113</v>
      </c>
      <c r="M17" s="8">
        <v>88</v>
      </c>
      <c r="N17" s="8">
        <v>103</v>
      </c>
      <c r="O17" s="8">
        <v>70</v>
      </c>
      <c r="P17" s="8">
        <v>32</v>
      </c>
      <c r="Q17" s="2"/>
      <c r="R17" s="9">
        <f t="shared" si="2"/>
        <v>0.68442622950819676</v>
      </c>
      <c r="S17" s="15">
        <f>P17/$C$12</f>
        <v>6.5573770491803282E-2</v>
      </c>
      <c r="T17" s="2"/>
      <c r="U17" s="2"/>
      <c r="V17" s="2"/>
      <c r="W17" s="2"/>
      <c r="X17" s="2"/>
      <c r="Y17" s="2"/>
      <c r="Z17" s="2"/>
    </row>
    <row r="18" spans="1:26" x14ac:dyDescent="0.3">
      <c r="A18" s="7" t="s">
        <v>61</v>
      </c>
      <c r="B18" s="7" t="s">
        <v>62</v>
      </c>
      <c r="C18" s="7" t="s">
        <v>63</v>
      </c>
      <c r="D18" s="8">
        <v>298</v>
      </c>
      <c r="E18" s="8">
        <v>306</v>
      </c>
      <c r="F18" s="8">
        <v>268</v>
      </c>
      <c r="G18" s="8">
        <v>230</v>
      </c>
      <c r="H18" s="8">
        <v>176</v>
      </c>
      <c r="I18" s="8">
        <v>90</v>
      </c>
      <c r="J18" s="8">
        <v>44</v>
      </c>
      <c r="K18" s="8">
        <v>108</v>
      </c>
      <c r="L18" s="8">
        <v>151</v>
      </c>
      <c r="M18" s="8">
        <v>95</v>
      </c>
      <c r="N18" s="8">
        <v>91</v>
      </c>
      <c r="O18" s="16" t="s">
        <v>64</v>
      </c>
      <c r="P18" s="8">
        <v>66</v>
      </c>
      <c r="Q18" s="2"/>
      <c r="R18" s="9">
        <f t="shared" si="2"/>
        <v>0.61065573770491799</v>
      </c>
      <c r="S18" s="15">
        <f>P18/$C$12</f>
        <v>0.13524590163934427</v>
      </c>
      <c r="T18" s="2"/>
      <c r="U18" s="2"/>
      <c r="V18" s="2"/>
      <c r="W18" s="2"/>
      <c r="X18" s="2"/>
      <c r="Y18" s="2"/>
      <c r="Z18" s="2"/>
    </row>
    <row r="19" spans="1:26" x14ac:dyDescent="0.3">
      <c r="A19" s="7" t="s">
        <v>65</v>
      </c>
      <c r="B19" s="7" t="s">
        <v>66</v>
      </c>
      <c r="C19" s="7" t="s">
        <v>67</v>
      </c>
      <c r="D19" s="8">
        <v>326</v>
      </c>
      <c r="E19" s="8">
        <v>340</v>
      </c>
      <c r="F19" s="8">
        <v>322</v>
      </c>
      <c r="G19" s="8">
        <v>245</v>
      </c>
      <c r="H19" s="8">
        <v>179</v>
      </c>
      <c r="I19" s="8">
        <v>149</v>
      </c>
      <c r="J19" s="8">
        <v>116</v>
      </c>
      <c r="K19" s="8">
        <v>117</v>
      </c>
      <c r="L19" s="8">
        <v>97</v>
      </c>
      <c r="M19" s="8">
        <v>74</v>
      </c>
      <c r="N19" s="8">
        <v>47</v>
      </c>
      <c r="O19" s="8">
        <v>25</v>
      </c>
      <c r="P19" s="8">
        <v>35</v>
      </c>
      <c r="Q19" s="2"/>
      <c r="R19" s="9">
        <f t="shared" si="2"/>
        <v>0.66803278688524592</v>
      </c>
      <c r="S19" s="15">
        <f>P19/$C$12</f>
        <v>7.1721311475409832E-2</v>
      </c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5" t="s">
        <v>68</v>
      </c>
      <c r="B22" s="5"/>
      <c r="C22" s="5">
        <v>69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11</v>
      </c>
      <c r="N22" s="5" t="s">
        <v>12</v>
      </c>
      <c r="O22" s="5" t="s">
        <v>13</v>
      </c>
      <c r="P22" s="5" t="s">
        <v>14</v>
      </c>
      <c r="Q22" s="4"/>
      <c r="R22" s="5" t="s">
        <v>2</v>
      </c>
      <c r="S22" s="5" t="s">
        <v>15</v>
      </c>
      <c r="T22" s="2"/>
      <c r="U22" s="2"/>
      <c r="V22" s="2"/>
      <c r="W22" s="2"/>
      <c r="X22" s="2"/>
      <c r="Y22" s="2"/>
      <c r="Z22" s="2"/>
    </row>
    <row r="23" spans="1:26" x14ac:dyDescent="0.3">
      <c r="A23" s="5" t="s">
        <v>16</v>
      </c>
      <c r="B23" s="5"/>
      <c r="C23" s="5" t="s">
        <v>17</v>
      </c>
      <c r="D23" s="6" t="s">
        <v>69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80</v>
      </c>
      <c r="P23" s="6" t="s">
        <v>81</v>
      </c>
      <c r="Q23" s="4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8" t="s">
        <v>82</v>
      </c>
      <c r="B24" s="8" t="s">
        <v>83</v>
      </c>
      <c r="C24" s="8" t="s">
        <v>84</v>
      </c>
      <c r="D24" s="8">
        <v>36</v>
      </c>
      <c r="E24" s="8">
        <v>28</v>
      </c>
      <c r="F24" s="8">
        <v>17</v>
      </c>
      <c r="G24" s="8">
        <v>19</v>
      </c>
      <c r="H24" s="8">
        <v>19</v>
      </c>
      <c r="I24" s="8">
        <v>16</v>
      </c>
      <c r="J24" s="8">
        <v>24</v>
      </c>
      <c r="K24" s="8">
        <v>13</v>
      </c>
      <c r="L24" s="8">
        <v>12</v>
      </c>
      <c r="M24" s="8">
        <v>17</v>
      </c>
      <c r="N24" s="8">
        <v>17</v>
      </c>
      <c r="O24" s="8">
        <v>16</v>
      </c>
      <c r="P24" s="8"/>
      <c r="Q24" s="2"/>
      <c r="R24" s="9">
        <f>D24/$C$22</f>
        <v>0.52173913043478259</v>
      </c>
      <c r="S24" s="14">
        <f>O24/$C$22</f>
        <v>0.2318840579710145</v>
      </c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ABC5-3979-4B51-931C-073292353FC8}">
  <dimension ref="A1:H64"/>
  <sheetViews>
    <sheetView showGridLines="0" workbookViewId="0">
      <selection activeCell="D32" sqref="D32"/>
    </sheetView>
  </sheetViews>
  <sheetFormatPr defaultRowHeight="14.4" x14ac:dyDescent="0.3"/>
  <cols>
    <col min="1" max="1" width="8.5546875" style="3" bestFit="1" customWidth="1"/>
    <col min="2" max="2" width="47.33203125" bestFit="1" customWidth="1"/>
    <col min="3" max="3" width="45.33203125" bestFit="1" customWidth="1"/>
    <col min="4" max="4" width="12.33203125" bestFit="1" customWidth="1"/>
    <col min="5" max="5" width="19.77734375" bestFit="1" customWidth="1"/>
    <col min="6" max="6" width="16.109375" bestFit="1" customWidth="1"/>
    <col min="7" max="7" width="9.5546875" bestFit="1" customWidth="1"/>
    <col min="8" max="8" width="6.88671875" bestFit="1" customWidth="1"/>
  </cols>
  <sheetData>
    <row r="1" spans="1:8" x14ac:dyDescent="0.3">
      <c r="A1" s="1" t="s">
        <v>85</v>
      </c>
      <c r="B1" s="1"/>
      <c r="C1" s="1"/>
      <c r="D1" s="1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thickBot="1" x14ac:dyDescent="0.35">
      <c r="A4" s="17" t="s">
        <v>86</v>
      </c>
      <c r="B4" s="18"/>
      <c r="C4" s="18"/>
      <c r="D4" s="18"/>
      <c r="E4" s="18"/>
    </row>
    <row r="5" spans="1:8" ht="15" thickBot="1" x14ac:dyDescent="0.35">
      <c r="A5" s="19" t="s">
        <v>1</v>
      </c>
      <c r="B5" s="4"/>
      <c r="D5" s="20">
        <v>322</v>
      </c>
    </row>
    <row r="6" spans="1:8" x14ac:dyDescent="0.3">
      <c r="A6" s="4"/>
      <c r="B6" s="4"/>
    </row>
    <row r="7" spans="1:8" x14ac:dyDescent="0.3">
      <c r="A7" s="21" t="s">
        <v>87</v>
      </c>
      <c r="B7" s="21" t="s">
        <v>88</v>
      </c>
      <c r="C7" s="21" t="s">
        <v>89</v>
      </c>
      <c r="D7" s="5" t="s">
        <v>90</v>
      </c>
      <c r="E7" s="5" t="s">
        <v>91</v>
      </c>
    </row>
    <row r="8" spans="1:8" x14ac:dyDescent="0.3">
      <c r="A8" s="22">
        <v>2</v>
      </c>
      <c r="B8" s="22" t="s">
        <v>92</v>
      </c>
      <c r="C8" s="22" t="s">
        <v>93</v>
      </c>
      <c r="D8" s="23">
        <v>226</v>
      </c>
      <c r="E8" s="24">
        <f>D8/$D$5</f>
        <v>0.70186335403726707</v>
      </c>
    </row>
    <row r="9" spans="1:8" x14ac:dyDescent="0.3">
      <c r="A9" s="22">
        <v>3</v>
      </c>
      <c r="B9" s="22" t="s">
        <v>94</v>
      </c>
      <c r="C9" s="22" t="s">
        <v>95</v>
      </c>
      <c r="D9" s="23">
        <v>247</v>
      </c>
      <c r="E9" s="24">
        <f t="shared" ref="E9:E27" si="0">D9/$D$5</f>
        <v>0.76708074534161486</v>
      </c>
    </row>
    <row r="10" spans="1:8" x14ac:dyDescent="0.3">
      <c r="A10" s="22">
        <v>3</v>
      </c>
      <c r="B10" s="22" t="s">
        <v>94</v>
      </c>
      <c r="C10" s="22" t="s">
        <v>96</v>
      </c>
      <c r="D10" s="23">
        <v>238</v>
      </c>
      <c r="E10" s="24">
        <f t="shared" si="0"/>
        <v>0.73913043478260865</v>
      </c>
    </row>
    <row r="11" spans="1:8" x14ac:dyDescent="0.3">
      <c r="A11" s="22">
        <v>3</v>
      </c>
      <c r="B11" s="22" t="s">
        <v>94</v>
      </c>
      <c r="C11" s="22" t="s">
        <v>97</v>
      </c>
      <c r="D11" s="23">
        <v>246</v>
      </c>
      <c r="E11" s="24">
        <f t="shared" si="0"/>
        <v>0.7639751552795031</v>
      </c>
    </row>
    <row r="12" spans="1:8" x14ac:dyDescent="0.3">
      <c r="A12" s="22">
        <v>4</v>
      </c>
      <c r="B12" s="25" t="s">
        <v>98</v>
      </c>
      <c r="C12" s="22" t="s">
        <v>99</v>
      </c>
      <c r="D12" s="23">
        <v>199</v>
      </c>
      <c r="E12" s="24">
        <f t="shared" si="0"/>
        <v>0.61801242236024845</v>
      </c>
    </row>
    <row r="13" spans="1:8" x14ac:dyDescent="0.3">
      <c r="A13" s="22">
        <v>4</v>
      </c>
      <c r="B13" s="25" t="s">
        <v>100</v>
      </c>
      <c r="C13" s="22" t="s">
        <v>101</v>
      </c>
      <c r="D13" s="23">
        <v>18</v>
      </c>
      <c r="E13" s="24">
        <f t="shared" si="0"/>
        <v>5.5900621118012424E-2</v>
      </c>
    </row>
    <row r="14" spans="1:8" x14ac:dyDescent="0.3">
      <c r="A14" s="22">
        <v>5</v>
      </c>
      <c r="B14" s="22" t="s">
        <v>102</v>
      </c>
      <c r="C14" s="22" t="s">
        <v>103</v>
      </c>
      <c r="D14" s="23">
        <v>194</v>
      </c>
      <c r="E14" s="24">
        <f t="shared" si="0"/>
        <v>0.60248447204968947</v>
      </c>
    </row>
    <row r="15" spans="1:8" x14ac:dyDescent="0.3">
      <c r="A15" s="22">
        <v>6</v>
      </c>
      <c r="B15" s="22" t="s">
        <v>104</v>
      </c>
      <c r="C15" s="22" t="s">
        <v>105</v>
      </c>
      <c r="D15" s="23">
        <v>192</v>
      </c>
      <c r="E15" s="24">
        <f t="shared" si="0"/>
        <v>0.59627329192546585</v>
      </c>
    </row>
    <row r="16" spans="1:8" x14ac:dyDescent="0.3">
      <c r="A16" s="22">
        <v>6</v>
      </c>
      <c r="B16" s="22" t="s">
        <v>106</v>
      </c>
      <c r="C16" s="22" t="s">
        <v>107</v>
      </c>
      <c r="D16" s="23">
        <v>212</v>
      </c>
      <c r="E16" s="24">
        <f t="shared" si="0"/>
        <v>0.65838509316770188</v>
      </c>
    </row>
    <row r="17" spans="1:5" x14ac:dyDescent="0.3">
      <c r="A17" s="22">
        <v>6</v>
      </c>
      <c r="B17" s="22" t="s">
        <v>108</v>
      </c>
      <c r="C17" s="22" t="s">
        <v>109</v>
      </c>
      <c r="D17" s="23">
        <v>195</v>
      </c>
      <c r="E17" s="24">
        <f t="shared" si="0"/>
        <v>0.60559006211180122</v>
      </c>
    </row>
    <row r="18" spans="1:5" x14ac:dyDescent="0.3">
      <c r="A18" s="22">
        <v>7</v>
      </c>
      <c r="B18" s="22" t="s">
        <v>110</v>
      </c>
      <c r="C18" s="22" t="s">
        <v>111</v>
      </c>
      <c r="D18" s="23">
        <v>177</v>
      </c>
      <c r="E18" s="24">
        <f t="shared" si="0"/>
        <v>0.5496894409937888</v>
      </c>
    </row>
    <row r="19" spans="1:5" x14ac:dyDescent="0.3">
      <c r="A19" s="22">
        <v>7</v>
      </c>
      <c r="B19" s="22" t="s">
        <v>110</v>
      </c>
      <c r="C19" s="22" t="s">
        <v>112</v>
      </c>
      <c r="D19" s="23">
        <v>182</v>
      </c>
      <c r="E19" s="24">
        <f t="shared" si="0"/>
        <v>0.56521739130434778</v>
      </c>
    </row>
    <row r="20" spans="1:5" x14ac:dyDescent="0.3">
      <c r="A20" s="22">
        <v>9</v>
      </c>
      <c r="B20" s="22" t="s">
        <v>113</v>
      </c>
      <c r="C20" s="22" t="s">
        <v>114</v>
      </c>
      <c r="D20" s="23">
        <v>37</v>
      </c>
      <c r="E20" s="24">
        <f t="shared" si="0"/>
        <v>0.11490683229813664</v>
      </c>
    </row>
    <row r="21" spans="1:5" x14ac:dyDescent="0.3">
      <c r="A21" s="22">
        <v>9</v>
      </c>
      <c r="B21" s="22" t="s">
        <v>115</v>
      </c>
      <c r="C21" s="22" t="s">
        <v>116</v>
      </c>
      <c r="D21" s="23">
        <v>196</v>
      </c>
      <c r="E21" s="24">
        <f t="shared" si="0"/>
        <v>0.60869565217391308</v>
      </c>
    </row>
    <row r="22" spans="1:5" x14ac:dyDescent="0.3">
      <c r="A22" s="22">
        <v>10</v>
      </c>
      <c r="B22" s="22" t="s">
        <v>117</v>
      </c>
      <c r="C22" s="22" t="s">
        <v>118</v>
      </c>
      <c r="D22" s="23">
        <v>31</v>
      </c>
      <c r="E22" s="24">
        <f t="shared" si="0"/>
        <v>9.627329192546584E-2</v>
      </c>
    </row>
    <row r="23" spans="1:5" x14ac:dyDescent="0.3">
      <c r="A23" s="22">
        <v>10</v>
      </c>
      <c r="B23" s="22" t="s">
        <v>117</v>
      </c>
      <c r="C23" s="22" t="s">
        <v>119</v>
      </c>
      <c r="D23" s="23">
        <v>10</v>
      </c>
      <c r="E23" s="24">
        <f t="shared" si="0"/>
        <v>3.1055900621118012E-2</v>
      </c>
    </row>
    <row r="24" spans="1:5" x14ac:dyDescent="0.3">
      <c r="A24" s="22">
        <v>10</v>
      </c>
      <c r="B24" s="22" t="s">
        <v>120</v>
      </c>
      <c r="C24" s="22" t="s">
        <v>121</v>
      </c>
      <c r="D24" s="23">
        <v>176</v>
      </c>
      <c r="E24" s="24">
        <f t="shared" si="0"/>
        <v>0.54658385093167705</v>
      </c>
    </row>
    <row r="25" spans="1:5" x14ac:dyDescent="0.3">
      <c r="A25" s="22">
        <v>11</v>
      </c>
      <c r="B25" s="22" t="s">
        <v>122</v>
      </c>
      <c r="C25" s="22" t="s">
        <v>123</v>
      </c>
      <c r="D25" s="23">
        <v>179</v>
      </c>
      <c r="E25" s="24">
        <f t="shared" si="0"/>
        <v>0.55590062111801242</v>
      </c>
    </row>
    <row r="26" spans="1:5" x14ac:dyDescent="0.3">
      <c r="A26" s="22">
        <v>13</v>
      </c>
      <c r="B26" s="22" t="s">
        <v>124</v>
      </c>
      <c r="C26" s="22" t="s">
        <v>125</v>
      </c>
      <c r="D26" s="23">
        <v>177</v>
      </c>
      <c r="E26" s="24">
        <f t="shared" si="0"/>
        <v>0.5496894409937888</v>
      </c>
    </row>
    <row r="27" spans="1:5" x14ac:dyDescent="0.3">
      <c r="A27" s="26">
        <v>41275</v>
      </c>
      <c r="B27" s="22" t="s">
        <v>126</v>
      </c>
      <c r="C27" s="22" t="s">
        <v>127</v>
      </c>
      <c r="D27" s="23"/>
      <c r="E27" s="24">
        <f t="shared" si="0"/>
        <v>0</v>
      </c>
    </row>
    <row r="30" spans="1:5" ht="15" thickBot="1" x14ac:dyDescent="0.35">
      <c r="A30" s="17" t="s">
        <v>128</v>
      </c>
      <c r="B30" s="18"/>
      <c r="C30" s="18"/>
      <c r="D30" s="18"/>
      <c r="E30" s="18"/>
    </row>
    <row r="31" spans="1:5" ht="15" thickBot="1" x14ac:dyDescent="0.35">
      <c r="A31" s="19" t="s">
        <v>48</v>
      </c>
      <c r="B31" s="4"/>
      <c r="D31" s="20">
        <v>488</v>
      </c>
    </row>
    <row r="32" spans="1:5" x14ac:dyDescent="0.3">
      <c r="A32" s="4"/>
      <c r="B32" s="4"/>
    </row>
    <row r="33" spans="1:5" x14ac:dyDescent="0.3">
      <c r="A33" s="27" t="s">
        <v>87</v>
      </c>
      <c r="B33" s="28" t="s">
        <v>88</v>
      </c>
      <c r="C33" s="28" t="s">
        <v>89</v>
      </c>
      <c r="D33" s="5" t="s">
        <v>90</v>
      </c>
      <c r="E33" s="5" t="s">
        <v>91</v>
      </c>
    </row>
    <row r="34" spans="1:5" x14ac:dyDescent="0.3">
      <c r="A34" s="29">
        <v>2</v>
      </c>
      <c r="B34" s="29" t="s">
        <v>129</v>
      </c>
      <c r="C34" s="29" t="s">
        <v>130</v>
      </c>
      <c r="D34" s="30">
        <v>428</v>
      </c>
      <c r="E34" s="31">
        <f>D34/$D$31</f>
        <v>0.87704918032786883</v>
      </c>
    </row>
    <row r="35" spans="1:5" x14ac:dyDescent="0.3">
      <c r="A35" s="29">
        <v>3</v>
      </c>
      <c r="B35" s="29" t="s">
        <v>94</v>
      </c>
      <c r="C35" s="29" t="s">
        <v>131</v>
      </c>
      <c r="D35" s="30">
        <v>389</v>
      </c>
      <c r="E35" s="31">
        <f t="shared" ref="E35:E53" si="1">D35/$D$31</f>
        <v>0.79713114754098358</v>
      </c>
    </row>
    <row r="36" spans="1:5" x14ac:dyDescent="0.3">
      <c r="A36" s="29">
        <v>4</v>
      </c>
      <c r="B36" s="29" t="s">
        <v>132</v>
      </c>
      <c r="C36" s="29" t="s">
        <v>133</v>
      </c>
      <c r="D36" s="30">
        <v>417</v>
      </c>
      <c r="E36" s="31">
        <f t="shared" si="1"/>
        <v>0.85450819672131151</v>
      </c>
    </row>
    <row r="37" spans="1:5" x14ac:dyDescent="0.3">
      <c r="A37" s="29">
        <v>4</v>
      </c>
      <c r="B37" s="29" t="s">
        <v>132</v>
      </c>
      <c r="C37" s="29" t="s">
        <v>134</v>
      </c>
      <c r="D37" s="30">
        <v>389</v>
      </c>
      <c r="E37" s="31">
        <f t="shared" si="1"/>
        <v>0.79713114754098358</v>
      </c>
    </row>
    <row r="38" spans="1:5" x14ac:dyDescent="0.3">
      <c r="A38" s="29">
        <v>4</v>
      </c>
      <c r="B38" s="29" t="s">
        <v>132</v>
      </c>
      <c r="C38" s="29" t="s">
        <v>135</v>
      </c>
      <c r="D38" s="30">
        <v>373</v>
      </c>
      <c r="E38" s="31">
        <f t="shared" si="1"/>
        <v>0.76434426229508201</v>
      </c>
    </row>
    <row r="39" spans="1:5" x14ac:dyDescent="0.3">
      <c r="A39" s="29">
        <v>5</v>
      </c>
      <c r="B39" s="29" t="s">
        <v>136</v>
      </c>
      <c r="C39" s="29" t="s">
        <v>137</v>
      </c>
      <c r="D39" s="30">
        <v>413</v>
      </c>
      <c r="E39" s="31">
        <f t="shared" si="1"/>
        <v>0.84631147540983609</v>
      </c>
    </row>
    <row r="40" spans="1:5" x14ac:dyDescent="0.3">
      <c r="A40" s="29">
        <v>5</v>
      </c>
      <c r="B40" s="29" t="s">
        <v>138</v>
      </c>
      <c r="C40" s="29" t="s">
        <v>139</v>
      </c>
      <c r="D40" s="30">
        <v>394</v>
      </c>
      <c r="E40" s="31">
        <f t="shared" si="1"/>
        <v>0.80737704918032782</v>
      </c>
    </row>
    <row r="41" spans="1:5" x14ac:dyDescent="0.3">
      <c r="A41" s="29">
        <v>5</v>
      </c>
      <c r="B41" s="29" t="s">
        <v>140</v>
      </c>
      <c r="C41" s="29" t="s">
        <v>141</v>
      </c>
      <c r="D41" s="30">
        <v>405</v>
      </c>
      <c r="E41" s="31">
        <f t="shared" si="1"/>
        <v>0.82991803278688525</v>
      </c>
    </row>
    <row r="42" spans="1:5" x14ac:dyDescent="0.3">
      <c r="A42" s="29">
        <v>6</v>
      </c>
      <c r="B42" s="29" t="s">
        <v>108</v>
      </c>
      <c r="C42" s="29" t="s">
        <v>142</v>
      </c>
      <c r="D42" s="30">
        <v>395</v>
      </c>
      <c r="E42" s="31">
        <f t="shared" si="1"/>
        <v>0.80942622950819676</v>
      </c>
    </row>
    <row r="43" spans="1:5" x14ac:dyDescent="0.3">
      <c r="A43" s="29">
        <v>6</v>
      </c>
      <c r="B43" s="29" t="s">
        <v>108</v>
      </c>
      <c r="C43" s="29" t="s">
        <v>143</v>
      </c>
      <c r="D43" s="30">
        <v>398</v>
      </c>
      <c r="E43" s="31">
        <f t="shared" si="1"/>
        <v>0.81557377049180324</v>
      </c>
    </row>
    <row r="44" spans="1:5" x14ac:dyDescent="0.3">
      <c r="A44" s="29">
        <v>6</v>
      </c>
      <c r="B44" s="29" t="s">
        <v>144</v>
      </c>
      <c r="C44" s="29" t="s">
        <v>145</v>
      </c>
      <c r="D44" s="30">
        <v>351</v>
      </c>
      <c r="E44" s="31">
        <f t="shared" si="1"/>
        <v>0.71926229508196726</v>
      </c>
    </row>
    <row r="45" spans="1:5" x14ac:dyDescent="0.3">
      <c r="A45" s="29">
        <v>7</v>
      </c>
      <c r="B45" s="32" t="s">
        <v>146</v>
      </c>
      <c r="C45" s="32" t="s">
        <v>147</v>
      </c>
      <c r="D45" s="30">
        <v>404</v>
      </c>
      <c r="E45" s="31">
        <f t="shared" si="1"/>
        <v>0.82786885245901642</v>
      </c>
    </row>
    <row r="46" spans="1:5" x14ac:dyDescent="0.3">
      <c r="A46" s="29">
        <v>8</v>
      </c>
      <c r="B46" s="29" t="s">
        <v>110</v>
      </c>
      <c r="C46" s="29" t="s">
        <v>148</v>
      </c>
      <c r="D46" s="30">
        <v>373</v>
      </c>
      <c r="E46" s="31">
        <f t="shared" si="1"/>
        <v>0.76434426229508201</v>
      </c>
    </row>
    <row r="47" spans="1:5" x14ac:dyDescent="0.3">
      <c r="A47" s="29">
        <v>8</v>
      </c>
      <c r="B47" s="32" t="s">
        <v>149</v>
      </c>
      <c r="C47" s="32" t="s">
        <v>150</v>
      </c>
      <c r="D47" s="30">
        <v>375</v>
      </c>
      <c r="E47" s="31">
        <f t="shared" si="1"/>
        <v>0.76844262295081966</v>
      </c>
    </row>
    <row r="48" spans="1:5" x14ac:dyDescent="0.3">
      <c r="A48" s="29">
        <v>9</v>
      </c>
      <c r="B48" s="29" t="s">
        <v>151</v>
      </c>
      <c r="C48" s="29" t="s">
        <v>152</v>
      </c>
      <c r="D48" s="30">
        <v>359</v>
      </c>
      <c r="E48" s="31">
        <f t="shared" si="1"/>
        <v>0.73565573770491799</v>
      </c>
    </row>
    <row r="49" spans="1:5" x14ac:dyDescent="0.3">
      <c r="A49" s="29">
        <v>9</v>
      </c>
      <c r="B49" s="29" t="s">
        <v>153</v>
      </c>
      <c r="C49" s="29" t="s">
        <v>154</v>
      </c>
      <c r="D49" s="30">
        <v>18</v>
      </c>
      <c r="E49" s="31">
        <f t="shared" si="1"/>
        <v>3.6885245901639344E-2</v>
      </c>
    </row>
    <row r="50" spans="1:5" x14ac:dyDescent="0.3">
      <c r="A50" s="29">
        <v>10</v>
      </c>
      <c r="B50" s="29" t="s">
        <v>155</v>
      </c>
      <c r="C50" s="29" t="s">
        <v>156</v>
      </c>
      <c r="D50" s="30">
        <v>364</v>
      </c>
      <c r="E50" s="31">
        <f t="shared" si="1"/>
        <v>0.74590163934426235</v>
      </c>
    </row>
    <row r="51" spans="1:5" x14ac:dyDescent="0.3">
      <c r="A51" s="29">
        <v>10</v>
      </c>
      <c r="B51" s="29" t="s">
        <v>155</v>
      </c>
      <c r="C51" s="29" t="s">
        <v>157</v>
      </c>
      <c r="D51" s="30">
        <v>165</v>
      </c>
      <c r="E51" s="31">
        <f t="shared" si="1"/>
        <v>0.33811475409836067</v>
      </c>
    </row>
    <row r="52" spans="1:5" x14ac:dyDescent="0.3">
      <c r="A52" s="29">
        <v>11</v>
      </c>
      <c r="B52" s="29" t="s">
        <v>122</v>
      </c>
      <c r="C52" s="29" t="s">
        <v>158</v>
      </c>
      <c r="D52" s="30">
        <v>382</v>
      </c>
      <c r="E52" s="31">
        <f t="shared" si="1"/>
        <v>0.78278688524590168</v>
      </c>
    </row>
    <row r="53" spans="1:5" x14ac:dyDescent="0.3">
      <c r="A53" s="29">
        <v>13</v>
      </c>
      <c r="B53" s="29" t="s">
        <v>124</v>
      </c>
      <c r="C53" s="29" t="s">
        <v>159</v>
      </c>
      <c r="D53" s="30">
        <v>356</v>
      </c>
      <c r="E53" s="31">
        <f t="shared" si="1"/>
        <v>0.72950819672131151</v>
      </c>
    </row>
    <row r="56" spans="1:5" ht="15" thickBot="1" x14ac:dyDescent="0.35">
      <c r="A56" s="17" t="s">
        <v>160</v>
      </c>
      <c r="B56" s="18"/>
      <c r="C56" s="18"/>
      <c r="D56" s="18"/>
      <c r="E56" s="18"/>
    </row>
    <row r="57" spans="1:5" ht="15" thickBot="1" x14ac:dyDescent="0.35">
      <c r="A57" s="33" t="s">
        <v>68</v>
      </c>
      <c r="D57" s="34">
        <v>69</v>
      </c>
    </row>
    <row r="59" spans="1:5" x14ac:dyDescent="0.3">
      <c r="A59" s="35" t="s">
        <v>87</v>
      </c>
      <c r="B59" s="35" t="s">
        <v>88</v>
      </c>
      <c r="C59" s="35" t="s">
        <v>89</v>
      </c>
      <c r="D59" s="5" t="s">
        <v>90</v>
      </c>
      <c r="E59" s="5" t="s">
        <v>91</v>
      </c>
    </row>
    <row r="60" spans="1:5" x14ac:dyDescent="0.3">
      <c r="A60" s="22">
        <v>3</v>
      </c>
      <c r="B60" s="36" t="s">
        <v>161</v>
      </c>
      <c r="C60" s="37" t="s">
        <v>162</v>
      </c>
      <c r="D60" s="23">
        <v>27</v>
      </c>
      <c r="E60" s="38">
        <f>D60/$D$57</f>
        <v>0.39130434782608697</v>
      </c>
    </row>
    <row r="61" spans="1:5" x14ac:dyDescent="0.3">
      <c r="A61" s="22">
        <v>6</v>
      </c>
      <c r="B61" s="36" t="s">
        <v>163</v>
      </c>
      <c r="C61" s="37" t="s">
        <v>164</v>
      </c>
      <c r="D61" s="23">
        <v>22</v>
      </c>
      <c r="E61" s="38">
        <f t="shared" ref="E61:E64" si="2">D61/$D$57</f>
        <v>0.3188405797101449</v>
      </c>
    </row>
    <row r="62" spans="1:5" x14ac:dyDescent="0.3">
      <c r="A62" s="22">
        <v>9</v>
      </c>
      <c r="B62" s="36" t="s">
        <v>165</v>
      </c>
      <c r="C62" s="37" t="s">
        <v>166</v>
      </c>
      <c r="D62" s="23">
        <v>29</v>
      </c>
      <c r="E62" s="38">
        <f t="shared" si="2"/>
        <v>0.42028985507246375</v>
      </c>
    </row>
    <row r="63" spans="1:5" x14ac:dyDescent="0.3">
      <c r="A63" s="22">
        <v>12</v>
      </c>
      <c r="B63" s="36" t="s">
        <v>167</v>
      </c>
      <c r="C63" s="37" t="s">
        <v>168</v>
      </c>
      <c r="D63" s="39" t="s">
        <v>169</v>
      </c>
      <c r="E63" s="40" t="s">
        <v>169</v>
      </c>
    </row>
    <row r="64" spans="1:5" x14ac:dyDescent="0.3">
      <c r="A64" s="41">
        <v>13</v>
      </c>
      <c r="B64" s="36" t="s">
        <v>170</v>
      </c>
      <c r="C64" s="42" t="s">
        <v>171</v>
      </c>
      <c r="D64" s="23"/>
      <c r="E64" s="38">
        <f t="shared" si="2"/>
        <v>0</v>
      </c>
    </row>
  </sheetData>
  <mergeCells count="4">
    <mergeCell ref="A1:D1"/>
    <mergeCell ref="A4:E4"/>
    <mergeCell ref="A30:E30"/>
    <mergeCell ref="A56:E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 Session Attendance</vt:lpstr>
      <vt:lpstr>Graded 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Sharma</dc:creator>
  <cp:lastModifiedBy>Kapil Sharma</cp:lastModifiedBy>
  <dcterms:created xsi:type="dcterms:W3CDTF">2026-02-09T10:57:07Z</dcterms:created>
  <dcterms:modified xsi:type="dcterms:W3CDTF">2026-02-09T11:01:15Z</dcterms:modified>
</cp:coreProperties>
</file>